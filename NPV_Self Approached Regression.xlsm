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Bahan Kuliah S1\TA\Results\Final Results\"/>
    </mc:Choice>
  </mc:AlternateContent>
  <xr:revisionPtr revIDLastSave="0" documentId="13_ncr:1_{089528B2-EACC-4878-BABB-C8DB21488BC9}" xr6:coauthVersionLast="36" xr6:coauthVersionMax="36" xr10:uidLastSave="{00000000-0000-0000-0000-000000000000}"/>
  <bookViews>
    <workbookView xWindow="0" yWindow="0" windowWidth="18210" windowHeight="7520" activeTab="1" xr2:uid="{37F201A6-DA80-4C35-B9B9-94D67A604597}"/>
  </bookViews>
  <sheets>
    <sheet name="Interface" sheetId="3" r:id="rId1"/>
    <sheet name="Regression" sheetId="2" r:id="rId2"/>
  </sheets>
  <functionGroups builtInGroupCount="19"/>
  <definedNames>
    <definedName name="_xlnm.Print_Area" localSheetId="0">Interface!$A$1:$K$25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4" i="2" l="1"/>
  <c r="B4" i="2"/>
  <c r="E4" i="2" s="1"/>
  <c r="I4" i="2"/>
  <c r="AB4" i="2" l="1"/>
  <c r="AA4" i="2"/>
  <c r="Y4" i="2"/>
  <c r="Z4" i="2" s="1"/>
  <c r="X4" i="2"/>
  <c r="V4" i="2"/>
  <c r="U4" i="2"/>
  <c r="T4" i="2"/>
  <c r="S4" i="2"/>
  <c r="R4" i="2"/>
  <c r="Q4" i="2"/>
  <c r="P4" i="2"/>
  <c r="O4" i="2"/>
  <c r="N4" i="2"/>
  <c r="M4" i="2"/>
  <c r="L4" i="2"/>
  <c r="K4" i="2"/>
  <c r="J4" i="2"/>
  <c r="H4" i="2"/>
  <c r="G4" i="2"/>
  <c r="F4" i="2" s="1"/>
  <c r="AC4" i="2" l="1"/>
  <c r="I9" i="2" s="1"/>
  <c r="W4" i="2"/>
  <c r="O9" i="2" s="1"/>
  <c r="C4" i="2"/>
  <c r="K9" i="2"/>
  <c r="J9" i="2"/>
  <c r="G9" i="2"/>
  <c r="H9" i="2"/>
  <c r="H15" i="3" l="1"/>
  <c r="N9" i="2"/>
  <c r="H14" i="3" s="1"/>
  <c r="M9" i="2"/>
  <c r="H13" i="3" s="1"/>
  <c r="L9" i="2"/>
  <c r="H12" i="3" s="1"/>
</calcChain>
</file>

<file path=xl/sharedStrings.xml><?xml version="1.0" encoding="utf-8"?>
<sst xmlns="http://schemas.openxmlformats.org/spreadsheetml/2006/main" count="120" uniqueCount="91">
  <si>
    <t>Solver</t>
  </si>
  <si>
    <t>Parameter</t>
  </si>
  <si>
    <t>Linear</t>
  </si>
  <si>
    <t>Simple Quadratic</t>
  </si>
  <si>
    <t>Quadratic</t>
  </si>
  <si>
    <t>API</t>
  </si>
  <si>
    <t>Denso</t>
  </si>
  <si>
    <t>N</t>
  </si>
  <si>
    <t>Area</t>
  </si>
  <si>
    <t>h</t>
  </si>
  <si>
    <t>POR</t>
  </si>
  <si>
    <t>PERMI</t>
  </si>
  <si>
    <t>Depth</t>
  </si>
  <si>
    <t>Krocw</t>
  </si>
  <si>
    <t>Krwiro</t>
  </si>
  <si>
    <t>Krgcl</t>
  </si>
  <si>
    <t>Nw</t>
  </si>
  <si>
    <t>Now</t>
  </si>
  <si>
    <t>Ng</t>
  </si>
  <si>
    <t>Nog</t>
  </si>
  <si>
    <t>Sgcon</t>
  </si>
  <si>
    <t>Sorg</t>
  </si>
  <si>
    <t>Sorw</t>
  </si>
  <si>
    <t>Swcon</t>
  </si>
  <si>
    <t>DPres</t>
  </si>
  <si>
    <t>Pres</t>
  </si>
  <si>
    <t>Swinit</t>
  </si>
  <si>
    <t>Soinit</t>
  </si>
  <si>
    <t>OilPrice</t>
  </si>
  <si>
    <t>Qinj</t>
  </si>
  <si>
    <t>BHPprod</t>
  </si>
  <si>
    <t>Constant</t>
  </si>
  <si>
    <t>Sim Quad</t>
  </si>
  <si>
    <t>Quad</t>
  </si>
  <si>
    <t>R1</t>
  </si>
  <si>
    <t>R2</t>
  </si>
  <si>
    <t>R3</t>
  </si>
  <si>
    <t>R4</t>
  </si>
  <si>
    <t>R5</t>
  </si>
  <si>
    <t>Calc Linear</t>
  </si>
  <si>
    <t>Calc SQ</t>
  </si>
  <si>
    <t>Calc Quad</t>
  </si>
  <si>
    <t>A0</t>
  </si>
  <si>
    <t>A1</t>
  </si>
  <si>
    <t>A2</t>
  </si>
  <si>
    <t>A3</t>
  </si>
  <si>
    <t>A4</t>
  </si>
  <si>
    <t>A5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</si>
  <si>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</si>
  <si>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</si>
  <si>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</si>
  <si>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</si>
  <si>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</si>
  <si>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</si>
  <si>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</si>
  <si>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</si>
  <si>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</si>
  <si>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</si>
  <si>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</si>
  <si>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</si>
  <si>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</si>
  <si>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</si>
  <si>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</si>
  <si>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Fluid</t>
  </si>
  <si>
    <t>°API</t>
  </si>
  <si>
    <t>Reservoir</t>
  </si>
  <si>
    <t>acre</t>
  </si>
  <si>
    <t>ft</t>
  </si>
  <si>
    <t>mD</t>
  </si>
  <si>
    <t>ft TVD</t>
  </si>
  <si>
    <t>Rock-Fluid</t>
  </si>
  <si>
    <t>Initial Conditions</t>
  </si>
  <si>
    <t>psi</t>
  </si>
  <si>
    <t>Economic</t>
  </si>
  <si>
    <t>US$/bbl</t>
  </si>
  <si>
    <t>Well</t>
  </si>
  <si>
    <t>SCF/D</t>
  </si>
  <si>
    <t>Parameters</t>
  </si>
  <si>
    <t>CMG</t>
  </si>
  <si>
    <t>Reduced Q</t>
  </si>
  <si>
    <t>MMUSD</t>
  </si>
  <si>
    <t>PROCESSED VALUE</t>
  </si>
  <si>
    <t>CO2 FLOODING PREDICTIVE MODEL</t>
  </si>
  <si>
    <t>CONTINOUS INJECTION FOR 10 YEARS</t>
  </si>
  <si>
    <t>Created by : D'Aqnan Marusaha M.P. (12215072)</t>
  </si>
  <si>
    <t>Visc**</t>
  </si>
  <si>
    <t>**</t>
  </si>
  <si>
    <t>Begss-Robinson Dead oil</t>
  </si>
  <si>
    <t>Bo*</t>
  </si>
  <si>
    <t>*</t>
  </si>
  <si>
    <t xml:space="preserve">Hanafy et al.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</si>
</sst>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3" borderId="5" xfId="0" applyNumberFormat="1" applyFon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0" fontId="0" fillId="0" borderId="6" xfId="0" applyFill="1" applyBorder="1"/>
    <xf numFmtId="0" fontId="0" fillId="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3" fillId="3" borderId="9" xfId="0" applyFont="1" applyFill="1" applyBorder="1"/>
    <xf numFmtId="0" fontId="0" fillId="3" borderId="9" xfId="0" applyFill="1" applyBorder="1"/>
    <xf numFmtId="0" fontId="0" fillId="3" borderId="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3" borderId="0" xfId="0" applyFill="1"/>
    <xf numFmtId="0" fontId="6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left"/>
    </xf>
    <xf numFmtId="2" fontId="0" fillId="3" borderId="5" xfId="0" applyNumberFormat="1" applyFill="1" applyBorder="1" applyAlignment="1">
      <alignment horizontal="center"/>
    </xf>
    <xf numFmtId="0" fontId="0" fillId="4" borderId="7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78EA-3E00-45BF-8CBE-D7A5CDBEE2F0}">
  <sheetPr codeName="Sheet3"/>
  <dimension ref="B2:J25"/>
  <sheetViews>
    <sheetView zoomScaleNormal="100" workbookViewId="0">
      <selection activeCell="C11" sqref="C11"/>
    </sheetView>
  </sheetViews>
  <sheetFormatPr defaultRowHeight="14.5" x14ac:dyDescent="0.35"/>
  <cols>
    <col min="1" max="1" width="8.7265625" style="31"/>
    <col min="2" max="2" width="9.36328125" style="31" customWidth="1"/>
    <col min="3" max="6" width="8.7265625" style="31"/>
    <col min="7" max="7" width="13" style="31" bestFit="1" customWidth="1"/>
    <col min="8" max="8" width="9" style="31" customWidth="1"/>
    <col min="9" max="16384" width="8.7265625" style="31"/>
  </cols>
  <sheetData>
    <row r="2" spans="2:10" x14ac:dyDescent="0.35">
      <c r="B2" s="32" t="s">
        <v>82</v>
      </c>
      <c r="C2" s="32"/>
      <c r="D2" s="32"/>
      <c r="E2" s="32"/>
      <c r="F2" s="32"/>
      <c r="G2" s="32"/>
      <c r="H2" s="32"/>
      <c r="I2" s="32"/>
      <c r="J2" s="32"/>
    </row>
    <row r="3" spans="2:10" x14ac:dyDescent="0.35">
      <c r="B3" s="32" t="s">
        <v>83</v>
      </c>
      <c r="C3" s="32"/>
      <c r="D3" s="32"/>
      <c r="E3" s="32"/>
      <c r="F3" s="32"/>
      <c r="G3" s="32"/>
      <c r="H3" s="32"/>
      <c r="I3" s="32"/>
      <c r="J3" s="32"/>
    </row>
    <row r="4" spans="2:10" x14ac:dyDescent="0.35">
      <c r="B4" s="33" t="s">
        <v>84</v>
      </c>
      <c r="C4" s="33"/>
      <c r="D4" s="33"/>
      <c r="E4" s="33"/>
      <c r="F4" s="33"/>
      <c r="G4" s="33"/>
      <c r="H4" s="33"/>
      <c r="I4" s="33"/>
      <c r="J4" s="33"/>
    </row>
    <row r="6" spans="2:10" x14ac:dyDescent="0.35">
      <c r="B6" s="18" t="s">
        <v>63</v>
      </c>
      <c r="C6" s="19" t="s">
        <v>5</v>
      </c>
      <c r="D6" s="37">
        <v>35</v>
      </c>
      <c r="E6" s="20" t="s">
        <v>64</v>
      </c>
      <c r="G6" s="24" t="s">
        <v>71</v>
      </c>
      <c r="H6" s="19" t="s">
        <v>25</v>
      </c>
      <c r="I6" s="37">
        <v>2036.3762162162166</v>
      </c>
      <c r="J6" s="21" t="s">
        <v>72</v>
      </c>
    </row>
    <row r="7" spans="2:10" x14ac:dyDescent="0.35">
      <c r="B7" s="23" t="s">
        <v>65</v>
      </c>
      <c r="C7" s="19" t="s">
        <v>8</v>
      </c>
      <c r="D7" s="37">
        <v>21.157</v>
      </c>
      <c r="E7" s="21" t="s">
        <v>66</v>
      </c>
      <c r="G7" s="25"/>
      <c r="H7" s="19" t="s">
        <v>26</v>
      </c>
      <c r="I7" s="37">
        <v>0.6</v>
      </c>
      <c r="J7" s="21"/>
    </row>
    <row r="8" spans="2:10" x14ac:dyDescent="0.35">
      <c r="B8" s="23"/>
      <c r="C8" s="19" t="s">
        <v>9</v>
      </c>
      <c r="D8" s="37">
        <v>95</v>
      </c>
      <c r="E8" s="21" t="s">
        <v>67</v>
      </c>
      <c r="G8" s="22" t="s">
        <v>73</v>
      </c>
      <c r="H8" s="19" t="s">
        <v>28</v>
      </c>
      <c r="I8" s="37">
        <v>70</v>
      </c>
      <c r="J8" s="21" t="s">
        <v>74</v>
      </c>
    </row>
    <row r="9" spans="2:10" x14ac:dyDescent="0.35">
      <c r="B9" s="23"/>
      <c r="C9" s="19" t="s">
        <v>10</v>
      </c>
      <c r="D9" s="37">
        <v>0.111</v>
      </c>
      <c r="E9" s="21"/>
      <c r="G9" s="22" t="s">
        <v>75</v>
      </c>
      <c r="H9" s="19" t="s">
        <v>29</v>
      </c>
      <c r="I9" s="37">
        <v>1400000</v>
      </c>
      <c r="J9" s="21" t="s">
        <v>76</v>
      </c>
    </row>
    <row r="10" spans="2:10" x14ac:dyDescent="0.35">
      <c r="B10" s="23"/>
      <c r="C10" s="19" t="s">
        <v>11</v>
      </c>
      <c r="D10" s="37">
        <v>147.70408</v>
      </c>
      <c r="E10" s="21" t="s">
        <v>68</v>
      </c>
    </row>
    <row r="11" spans="2:10" x14ac:dyDescent="0.35">
      <c r="B11" s="23"/>
      <c r="C11" s="19" t="s">
        <v>12</v>
      </c>
      <c r="D11" s="37">
        <v>8000</v>
      </c>
      <c r="E11" s="21" t="s">
        <v>69</v>
      </c>
      <c r="G11" s="34" t="s">
        <v>81</v>
      </c>
      <c r="H11" s="34"/>
      <c r="I11" s="34"/>
    </row>
    <row r="12" spans="2:10" ht="14.5" customHeight="1" x14ac:dyDescent="0.35">
      <c r="B12" s="23" t="s">
        <v>70</v>
      </c>
      <c r="C12" s="19" t="s">
        <v>13</v>
      </c>
      <c r="D12" s="37">
        <v>0.7</v>
      </c>
      <c r="E12" s="21"/>
      <c r="G12" s="35" t="s">
        <v>39</v>
      </c>
      <c r="H12" s="36">
        <f>Regression!L9</f>
        <v>-4.3924014600937058</v>
      </c>
      <c r="I12" s="19" t="s">
        <v>80</v>
      </c>
    </row>
    <row r="13" spans="2:10" x14ac:dyDescent="0.35">
      <c r="B13" s="23"/>
      <c r="C13" s="19" t="s">
        <v>14</v>
      </c>
      <c r="D13" s="37">
        <v>0.4</v>
      </c>
      <c r="E13" s="21"/>
      <c r="G13" s="35" t="s">
        <v>40</v>
      </c>
      <c r="H13" s="36">
        <f>Regression!M9</f>
        <v>-5.2538813557721546</v>
      </c>
      <c r="I13" s="19" t="s">
        <v>80</v>
      </c>
    </row>
    <row r="14" spans="2:10" x14ac:dyDescent="0.35">
      <c r="B14" s="23"/>
      <c r="C14" s="19" t="s">
        <v>15</v>
      </c>
      <c r="D14" s="37">
        <v>0.6</v>
      </c>
      <c r="E14" s="21"/>
      <c r="G14" s="35" t="s">
        <v>41</v>
      </c>
      <c r="H14" s="36">
        <f>Regression!N9</f>
        <v>-6.3064178562538462</v>
      </c>
      <c r="I14" s="19" t="s">
        <v>80</v>
      </c>
    </row>
    <row r="15" spans="2:10" x14ac:dyDescent="0.35">
      <c r="B15" s="23"/>
      <c r="C15" s="19" t="s">
        <v>16</v>
      </c>
      <c r="D15" s="37">
        <v>4</v>
      </c>
      <c r="E15" s="21"/>
      <c r="G15" s="35" t="s">
        <v>79</v>
      </c>
      <c r="H15" s="36">
        <f>Regression!O9</f>
        <v>-9.0798866789459254</v>
      </c>
      <c r="I15" s="19" t="s">
        <v>80</v>
      </c>
    </row>
    <row r="16" spans="2:10" x14ac:dyDescent="0.35">
      <c r="B16" s="23"/>
      <c r="C16" s="19" t="s">
        <v>17</v>
      </c>
      <c r="D16" s="37">
        <v>3</v>
      </c>
      <c r="E16" s="21"/>
    </row>
    <row r="17" spans="2:5" x14ac:dyDescent="0.35">
      <c r="B17" s="23"/>
      <c r="C17" s="19" t="s">
        <v>18</v>
      </c>
      <c r="D17" s="37">
        <v>4</v>
      </c>
      <c r="E17" s="21"/>
    </row>
    <row r="18" spans="2:5" x14ac:dyDescent="0.35">
      <c r="B18" s="23"/>
      <c r="C18" s="19" t="s">
        <v>19</v>
      </c>
      <c r="D18" s="37">
        <v>4</v>
      </c>
      <c r="E18" s="21"/>
    </row>
    <row r="19" spans="2:5" x14ac:dyDescent="0.35">
      <c r="B19" s="23"/>
      <c r="C19" s="19" t="s">
        <v>20</v>
      </c>
      <c r="D19" s="37">
        <v>0.05</v>
      </c>
      <c r="E19" s="21"/>
    </row>
    <row r="20" spans="2:5" x14ac:dyDescent="0.35">
      <c r="B20" s="23"/>
      <c r="C20" s="19" t="s">
        <v>21</v>
      </c>
      <c r="D20" s="37">
        <v>0.15</v>
      </c>
      <c r="E20" s="21"/>
    </row>
    <row r="21" spans="2:5" x14ac:dyDescent="0.35">
      <c r="B21" s="23"/>
      <c r="C21" s="19" t="s">
        <v>22</v>
      </c>
      <c r="D21" s="37">
        <v>0.16666666999999999</v>
      </c>
      <c r="E21" s="21"/>
    </row>
    <row r="22" spans="2:5" x14ac:dyDescent="0.35">
      <c r="B22" s="23"/>
      <c r="C22" s="19" t="s">
        <v>23</v>
      </c>
      <c r="D22" s="37">
        <v>0.25</v>
      </c>
      <c r="E22" s="21"/>
    </row>
    <row r="23" spans="2:5" ht="14.5" customHeight="1" x14ac:dyDescent="0.35"/>
    <row r="25" spans="2:5" ht="14.5" customHeight="1" x14ac:dyDescent="0.35"/>
  </sheetData>
  <mergeCells count="7">
    <mergeCell ref="B3:J3"/>
    <mergeCell ref="B2:J2"/>
    <mergeCell ref="B7:B11"/>
    <mergeCell ref="B12:B22"/>
    <mergeCell ref="G6:G7"/>
    <mergeCell ref="G11:I11"/>
    <mergeCell ref="B4:J4"/>
  </mergeCells>
  <pageMargins left="0.7" right="0.7" top="0.75" bottom="0.75" header="0.3" footer="0.3"/>
  <pageSetup scale="8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CBC3E-DB0C-49F7-B516-5DE3476F9A38}">
  <sheetPr codeName="Sheet4"/>
  <dimension ref="A2:AI29"/>
  <sheetViews>
    <sheetView tabSelected="1" zoomScale="60" zoomScaleNormal="60" workbookViewId="0">
      <selection activeCell="G18" sqref="G18"/>
    </sheetView>
  </sheetViews>
  <sheetFormatPr defaultRowHeight="14.5" x14ac:dyDescent="0.35"/>
  <cols>
    <col min="7" max="7" width="11.26953125" customWidth="1"/>
    <col min="36" max="36" width="11.26953125" bestFit="1" customWidth="1"/>
  </cols>
  <sheetData>
    <row r="2" spans="1:35" x14ac:dyDescent="0.35">
      <c r="B2" s="26" t="s">
        <v>77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</row>
    <row r="3" spans="1:35" x14ac:dyDescent="0.35">
      <c r="A3" s="2"/>
      <c r="B3" s="3" t="s">
        <v>5</v>
      </c>
      <c r="C3" s="3" t="s">
        <v>6</v>
      </c>
      <c r="D3" s="3" t="s">
        <v>88</v>
      </c>
      <c r="E3" s="3" t="s">
        <v>85</v>
      </c>
      <c r="F3" s="3" t="s">
        <v>7</v>
      </c>
      <c r="G3" s="3" t="s">
        <v>8</v>
      </c>
      <c r="H3" s="3" t="s">
        <v>9</v>
      </c>
      <c r="I3" s="3" t="s">
        <v>10</v>
      </c>
      <c r="J3" s="3" t="s">
        <v>11</v>
      </c>
      <c r="K3" s="3" t="s">
        <v>12</v>
      </c>
      <c r="L3" s="3" t="s">
        <v>13</v>
      </c>
      <c r="M3" s="3" t="s">
        <v>14</v>
      </c>
      <c r="N3" s="3" t="s">
        <v>15</v>
      </c>
      <c r="O3" s="3" t="s">
        <v>16</v>
      </c>
      <c r="P3" s="3" t="s">
        <v>17</v>
      </c>
      <c r="Q3" s="3" t="s">
        <v>18</v>
      </c>
      <c r="R3" s="3" t="s">
        <v>19</v>
      </c>
      <c r="S3" s="3" t="s">
        <v>20</v>
      </c>
      <c r="T3" s="3" t="s">
        <v>21</v>
      </c>
      <c r="U3" s="3" t="s">
        <v>22</v>
      </c>
      <c r="V3" s="3" t="s">
        <v>23</v>
      </c>
      <c r="W3" s="3" t="s">
        <v>24</v>
      </c>
      <c r="X3" s="3" t="s">
        <v>25</v>
      </c>
      <c r="Y3" s="3" t="s">
        <v>26</v>
      </c>
      <c r="Z3" s="3" t="s">
        <v>27</v>
      </c>
      <c r="AA3" s="3" t="s">
        <v>28</v>
      </c>
      <c r="AB3" s="3" t="s">
        <v>29</v>
      </c>
      <c r="AC3" s="3" t="s">
        <v>30</v>
      </c>
      <c r="AD3" s="2"/>
    </row>
    <row r="4" spans="1:35" x14ac:dyDescent="0.35">
      <c r="B4" s="7">
        <f>Interface!D6</f>
        <v>35</v>
      </c>
      <c r="C4" s="8">
        <f>141.5/(131.5+B4)*62.4</f>
        <v>53.030630630630633</v>
      </c>
      <c r="D4" s="30">
        <f>0.0006*(-49.069+0.312*X4)+1.079</f>
        <v>1.4307682276756757</v>
      </c>
      <c r="E4" s="30">
        <f>10^((10^(3.0324-0.02023*B4))*((225-32)*5/9)^-1.163)-1</f>
        <v>7.2909621500491841</v>
      </c>
      <c r="F4" s="7">
        <f>SQRT(G4*43560/900)</f>
        <v>31.999981249994509</v>
      </c>
      <c r="G4" s="7">
        <f>Interface!D7</f>
        <v>21.157</v>
      </c>
      <c r="H4" s="7">
        <f>Interface!D8</f>
        <v>95</v>
      </c>
      <c r="I4" s="7">
        <f>Interface!D9</f>
        <v>0.111</v>
      </c>
      <c r="J4" s="7">
        <f>Interface!D10</f>
        <v>147.70408</v>
      </c>
      <c r="K4" s="7">
        <f>Interface!D11</f>
        <v>8000</v>
      </c>
      <c r="L4" s="7">
        <f>Interface!D12</f>
        <v>0.7</v>
      </c>
      <c r="M4" s="7">
        <f>Interface!D13</f>
        <v>0.4</v>
      </c>
      <c r="N4" s="7">
        <f>Interface!D14</f>
        <v>0.6</v>
      </c>
      <c r="O4" s="7">
        <f>Interface!D15</f>
        <v>4</v>
      </c>
      <c r="P4" s="7">
        <f>Interface!D16</f>
        <v>3</v>
      </c>
      <c r="Q4" s="7">
        <f>Interface!D17</f>
        <v>4</v>
      </c>
      <c r="R4" s="7">
        <f>Interface!D18</f>
        <v>4</v>
      </c>
      <c r="S4" s="7">
        <f>Interface!D19</f>
        <v>0.05</v>
      </c>
      <c r="T4" s="7">
        <f>Interface!D20</f>
        <v>0.15</v>
      </c>
      <c r="U4" s="7">
        <f>Interface!D21</f>
        <v>0.16666666999999999</v>
      </c>
      <c r="V4" s="7">
        <f>Interface!D22</f>
        <v>0.25</v>
      </c>
      <c r="W4" s="7">
        <f>1-X4/(0.012*(141.5/(131.5+B4)*62.4)*K4)</f>
        <v>0.6</v>
      </c>
      <c r="X4" s="7">
        <f>Interface!I6</f>
        <v>2036.3762162162166</v>
      </c>
      <c r="Y4" s="7">
        <f>Interface!I7</f>
        <v>0.6</v>
      </c>
      <c r="Z4" s="7">
        <f>1-Y4</f>
        <v>0.4</v>
      </c>
      <c r="AA4" s="7">
        <f>Interface!I8</f>
        <v>70</v>
      </c>
      <c r="AB4" s="7">
        <f>Interface!I9</f>
        <v>1400000</v>
      </c>
      <c r="AC4" s="7">
        <f>2/3*X4</f>
        <v>1357.5841441441444</v>
      </c>
      <c r="AI4" s="11"/>
    </row>
    <row r="5" spans="1:35" x14ac:dyDescent="0.35">
      <c r="AI5" s="11"/>
    </row>
    <row r="6" spans="1:35" x14ac:dyDescent="0.35">
      <c r="AI6" s="11"/>
    </row>
    <row r="7" spans="1:35" x14ac:dyDescent="0.35">
      <c r="B7" s="27" t="s">
        <v>0</v>
      </c>
      <c r="C7" s="28"/>
      <c r="D7" s="28"/>
      <c r="E7" s="28"/>
      <c r="G7" s="29" t="s">
        <v>1</v>
      </c>
      <c r="H7" s="29"/>
      <c r="I7" s="29"/>
      <c r="J7" s="29"/>
      <c r="K7" s="29"/>
      <c r="L7" s="1" t="s">
        <v>2</v>
      </c>
      <c r="M7" s="1" t="s">
        <v>3</v>
      </c>
      <c r="N7" s="1" t="s">
        <v>4</v>
      </c>
      <c r="O7" s="1" t="s">
        <v>78</v>
      </c>
      <c r="AI7" s="11"/>
    </row>
    <row r="8" spans="1:35" x14ac:dyDescent="0.35">
      <c r="B8" s="1" t="s">
        <v>31</v>
      </c>
      <c r="C8" s="1" t="s">
        <v>2</v>
      </c>
      <c r="D8" s="1" t="s">
        <v>32</v>
      </c>
      <c r="E8" s="1" t="s">
        <v>33</v>
      </c>
      <c r="G8" s="4" t="s">
        <v>34</v>
      </c>
      <c r="H8" s="4" t="s">
        <v>35</v>
      </c>
      <c r="I8" s="4" t="s">
        <v>36</v>
      </c>
      <c r="J8" s="4" t="s">
        <v>37</v>
      </c>
      <c r="K8" s="5" t="s">
        <v>38</v>
      </c>
      <c r="L8" s="4" t="s">
        <v>39</v>
      </c>
      <c r="M8" s="6" t="s">
        <v>40</v>
      </c>
      <c r="N8" s="6" t="s">
        <v>41</v>
      </c>
      <c r="O8" s="1" t="s">
        <v>79</v>
      </c>
      <c r="AI8" s="11"/>
    </row>
    <row r="9" spans="1:35" x14ac:dyDescent="0.35">
      <c r="B9" s="9" t="s">
        <v>42</v>
      </c>
      <c r="C9" s="8">
        <v>-43.59382090889931</v>
      </c>
      <c r="D9" s="8">
        <v>-31.853653182321718</v>
      </c>
      <c r="E9" s="10">
        <v>32.475035566422051</v>
      </c>
      <c r="G9" s="12">
        <f>G4*H4*I4*(1-Y4)/D4*AA4</f>
        <v>4366.0571287273642</v>
      </c>
      <c r="H9" s="12">
        <f>LN(J4*H4*(Krow(L4,Y4,U4,V4,P4)/E4*(X4-AC4)/LN(F4*30/0.5)))</f>
        <v>8.9543381173680814</v>
      </c>
      <c r="I9" s="12">
        <f>LOG(43560*G4*H4*I4*(1-Y4)/D4/(7.08*J4/1000*H4/E4*(X4-AC4)/LN(F4*30/0.5)))</f>
        <v>3.3465043567825488</v>
      </c>
      <c r="J9" s="12">
        <f>G4*H4*I4/(AB4/10^6)</f>
        <v>159.35754642857142</v>
      </c>
      <c r="K9" s="12">
        <f>(AA4*G4*H4*I4*(1-Y4)/D4*43560-(443933.13+261700*5+1.2*AB4+371132*EXP(0.0008*0.3048*K4)+10*(27891+209.9*(365/1000*AB4)^0.5+15.25*K4+(2.95718+2.1)*AB4*365/100)))/10^6</f>
        <v>-77.278697030547704</v>
      </c>
      <c r="L9" s="13">
        <f>C9+G9*C10+H9*C11+I9*C12+J9*C13+K9*C14</f>
        <v>-4.3924014600937058</v>
      </c>
      <c r="M9" s="14">
        <f>D9+G9*D10+H9*D11+I9*D12+J9*D13+K9*D14+G9*G9*D15+H9*H9*D16+I9*I9*D17+J9*J9*D18+K9*K9*D19</f>
        <v>-5.2538813557721546</v>
      </c>
      <c r="N9" s="14">
        <f>E9+G9*E10+H9*E11+I9*E12+J9*E13+K9*E14+G9*G9*E15+H9*H9*E16+I9*I9*E17+J9*J9*E18+K9*K9*E19+G9*H9*E20+G9*I9*E21+G9*J9*E22+G9*K9*E23+H9*I9*E24+H9*J9*E25+H9*K9*E26+I9*J9*E27+I9*K9*E28+J9*K9*E29</f>
        <v>-6.3064178562538462</v>
      </c>
      <c r="O9" s="17">
        <f>(-136738000+542318*B4+1591500*F4+199007*H4+235326000*I4+55749.9*J4+4162.89*K4+239358000
*L4-18319800*M4-115239000*N4-3041500*O4-487732*P4-4796770*Q4-5496750
*R4+18862100*S4-140604000*T4+114423000*U4-63698800*V4+18404600*W4+196058000
*Y4-113279*AA4-28.5179*AB4-28870*B4*B4+12401.8*B4*F4+717264*B4*I4-364.919*B4
*J4+184.343*B4*K4-731685*B4*L4+243695*B4*N4-42181.3*B4*O4+59597.8*B4*Q4+1015690
*B4*S4-700116*B4*U4-2077200*B4*V4-1316640*B4*W4+2125390*B4*Y4-5525.73
*B4*AA4-0.342577*B4*AB4-16088.9*F4*F4-652201*F4*I4-41.3884*F4*K4+325161*F4*N4+111363
*F4*O4-122922*F4*P4-1051970*F4*U4+1936880*F4*V4-2490740*F4*Y4+5336.43*F4
*AA4+0.466948*F4*AB4-482.161*H4*H4+114806*H4*I4+6.05215*H4*K4+16895.1*H4*O4-13490.5*H4
*P4+6611.27*H4*Q4+83017.6*H4*S4-201747*H4*U4+239731*H4*V4-59094.3*H4*W4-445900*H4*Y4+1146.87
*H4*AA4+0.0619421*H4*AB4-284510000*I4*I4-5149.25*I4*K4+4576290*I4*O4-8096890
*I4*P4-155533000*I4*U4+157811000*I4*V4-305516000*I4*Y4+835003*I4*AA4+54.2165
*I4*AB4-57104.5*J4*L4-0.720435*K4*K4-304.579*K4*O4+266.674*K4*P4-363.343
*K4*Q4-8896.64*K4*S4+6116.23*K4*T4+4524.97*K4*V4+5599.73*K4*W4-5005.8
*K4*Y4+23.5334*K4*AA4+0.00155605*K4*AB4-151558000*L4*L4+4872460
*L4*R4+287178*L4*AA4+19704500*M4*N4+58072300*N4*N4+30552*O4
*AA4-0.536742*O4*AB4+641772*P4*P4+390623*P4*R4+4126930*P4*U4-29907.2*P4
*AA4+556462*Q4*Q4+4336800*Q4*W4+0.652185*Q4*AB4+44560800*S4*W4+239597000
*T4*T4+320500*T4*AA4-25659200*U4*W4-59636800*U4*Y4-54394100
*V4*W4+303617*V4*AA4-34312600*W4*W4+41284300*W4*Y4-197507
*W4*AA4-8.12531*W4*AB4-41578400*Y4*Y4-844787*Y4*AA4-8.50331
*Y4*AB4+0.107673*AA4*AB4-0.00000309483*AB4*AB4)/1000000</f>
        <v>-9.0798866789459254</v>
      </c>
      <c r="AI9" s="11"/>
    </row>
    <row r="10" spans="1:35" x14ac:dyDescent="0.35">
      <c r="B10" s="7" t="s">
        <v>43</v>
      </c>
      <c r="C10" s="8">
        <v>-7.872527623171687E-4</v>
      </c>
      <c r="D10" s="8">
        <v>-2.8358940297564303E-4</v>
      </c>
      <c r="E10" s="10">
        <v>-7.9414075636764154E-5</v>
      </c>
      <c r="AI10" s="11"/>
    </row>
    <row r="11" spans="1:35" x14ac:dyDescent="0.35">
      <c r="B11" s="7" t="s">
        <v>44</v>
      </c>
      <c r="C11" s="8">
        <v>2.7875654298953019</v>
      </c>
      <c r="D11" s="8">
        <v>-0.47086201380247611</v>
      </c>
      <c r="E11" s="10">
        <v>-6.4940499865787045</v>
      </c>
      <c r="AI11" s="11"/>
    </row>
    <row r="12" spans="1:35" x14ac:dyDescent="0.35">
      <c r="B12" s="7" t="s">
        <v>45</v>
      </c>
      <c r="C12" s="8">
        <v>6.6939624683034484</v>
      </c>
      <c r="D12" s="8">
        <v>11.036858087711581</v>
      </c>
      <c r="E12" s="10">
        <v>-14.620343919646384</v>
      </c>
      <c r="AI12" s="11"/>
    </row>
    <row r="13" spans="1:35" x14ac:dyDescent="0.35">
      <c r="B13" s="7" t="s">
        <v>46</v>
      </c>
      <c r="C13" s="8">
        <v>-8.9309687841088673E-3</v>
      </c>
      <c r="D13" s="8">
        <v>-1.8245679539019639E-2</v>
      </c>
      <c r="E13" s="10">
        <v>7.691958286890615E-3</v>
      </c>
      <c r="AI13" s="11"/>
    </row>
    <row r="14" spans="1:35" x14ac:dyDescent="0.35">
      <c r="B14" s="7" t="s">
        <v>47</v>
      </c>
      <c r="C14" s="8">
        <v>4.2707121343987658E-2</v>
      </c>
      <c r="D14" s="8">
        <v>6.0241912959022322E-2</v>
      </c>
      <c r="E14" s="10">
        <v>2.4261025502242874E-2</v>
      </c>
      <c r="AI14" s="11"/>
    </row>
    <row r="15" spans="1:35" x14ac:dyDescent="0.35">
      <c r="B15" s="7" t="s">
        <v>48</v>
      </c>
      <c r="C15" s="15"/>
      <c r="D15" s="8">
        <v>2.8491892474440036E-9</v>
      </c>
      <c r="E15" s="10">
        <v>2.0948910809567848E-8</v>
      </c>
      <c r="AI15" s="11"/>
    </row>
    <row r="16" spans="1:35" x14ac:dyDescent="0.35">
      <c r="B16" s="7" t="s">
        <v>49</v>
      </c>
      <c r="C16" s="15"/>
      <c r="D16" s="8">
        <v>0.16639039881100015</v>
      </c>
      <c r="E16" s="10">
        <v>0.26774365765199382</v>
      </c>
      <c r="AI16" s="11"/>
    </row>
    <row r="17" spans="2:8" x14ac:dyDescent="0.35">
      <c r="B17" s="7" t="s">
        <v>50</v>
      </c>
      <c r="C17" s="15"/>
      <c r="D17" s="8">
        <v>-0.95054809706419918</v>
      </c>
      <c r="E17" s="10">
        <v>1.5957898325578694</v>
      </c>
      <c r="G17" t="s">
        <v>89</v>
      </c>
      <c r="H17" t="s">
        <v>90</v>
      </c>
    </row>
    <row r="18" spans="2:8" x14ac:dyDescent="0.35">
      <c r="B18" s="7" t="s">
        <v>51</v>
      </c>
      <c r="C18" s="15"/>
      <c r="D18" s="8">
        <v>2.3101534935152998E-6</v>
      </c>
      <c r="E18" s="10">
        <v>1.3458628091158453E-6</v>
      </c>
      <c r="G18" t="s">
        <v>86</v>
      </c>
      <c r="H18" t="s">
        <v>87</v>
      </c>
    </row>
    <row r="19" spans="2:8" x14ac:dyDescent="0.35">
      <c r="B19" s="7" t="s">
        <v>52</v>
      </c>
      <c r="C19" s="15"/>
      <c r="D19" s="8">
        <v>-2.1200192115533202E-5</v>
      </c>
      <c r="E19" s="10">
        <v>-5.2736982414554957E-5</v>
      </c>
    </row>
    <row r="20" spans="2:8" x14ac:dyDescent="0.35">
      <c r="B20" s="7" t="s">
        <v>53</v>
      </c>
      <c r="C20" s="15"/>
      <c r="D20" s="16"/>
      <c r="E20" s="10">
        <v>9.5149765128258677E-5</v>
      </c>
    </row>
    <row r="21" spans="2:8" x14ac:dyDescent="0.35">
      <c r="B21" s="7" t="s">
        <v>54</v>
      </c>
      <c r="C21" s="15"/>
      <c r="D21" s="16"/>
      <c r="E21" s="10">
        <v>-9.0874650639821721E-5</v>
      </c>
    </row>
    <row r="22" spans="2:8" x14ac:dyDescent="0.35">
      <c r="B22" s="7" t="s">
        <v>55</v>
      </c>
      <c r="C22" s="15"/>
      <c r="D22" s="16"/>
      <c r="E22" s="10">
        <v>-3.2874816442246261E-6</v>
      </c>
    </row>
    <row r="23" spans="2:8" x14ac:dyDescent="0.35">
      <c r="B23" s="7" t="s">
        <v>56</v>
      </c>
      <c r="C23" s="15"/>
      <c r="D23" s="16"/>
      <c r="E23" s="10">
        <v>1.0203494552466807E-6</v>
      </c>
    </row>
    <row r="24" spans="2:8" x14ac:dyDescent="0.35">
      <c r="B24" s="7" t="s">
        <v>57</v>
      </c>
      <c r="C24" s="15"/>
      <c r="D24" s="16"/>
      <c r="E24" s="10">
        <v>1.1299814174833174</v>
      </c>
    </row>
    <row r="25" spans="2:8" x14ac:dyDescent="0.35">
      <c r="B25" s="7" t="s">
        <v>58</v>
      </c>
      <c r="C25" s="15"/>
      <c r="D25" s="16"/>
      <c r="E25" s="10">
        <v>-3.3009874306439861E-4</v>
      </c>
    </row>
    <row r="26" spans="2:8" x14ac:dyDescent="0.35">
      <c r="B26" s="7" t="s">
        <v>59</v>
      </c>
      <c r="C26" s="15"/>
      <c r="D26" s="16"/>
      <c r="E26" s="10">
        <v>5.3496829953244695E-4</v>
      </c>
    </row>
    <row r="27" spans="2:8" x14ac:dyDescent="0.35">
      <c r="B27" s="7" t="s">
        <v>60</v>
      </c>
      <c r="C27" s="15"/>
      <c r="D27" s="16"/>
      <c r="E27" s="10">
        <v>-2.8574746356863742E-3</v>
      </c>
    </row>
    <row r="28" spans="2:8" x14ac:dyDescent="0.35">
      <c r="B28" s="7" t="s">
        <v>61</v>
      </c>
      <c r="C28" s="15"/>
      <c r="D28" s="16"/>
      <c r="E28" s="10">
        <v>1.9560810538240816E-3</v>
      </c>
    </row>
    <row r="29" spans="2:8" x14ac:dyDescent="0.35">
      <c r="B29" s="7" t="s">
        <v>62</v>
      </c>
      <c r="C29" s="15"/>
      <c r="D29" s="16"/>
      <c r="E29" s="10">
        <v>7.4436552771084836E-5</v>
      </c>
    </row>
  </sheetData>
  <mergeCells count="3">
    <mergeCell ref="B2:AC2"/>
    <mergeCell ref="B7:E7"/>
    <mergeCell ref="G7:K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Interface</vt:lpstr>
      <vt:lpstr>Regression</vt:lpstr>
      <vt:lpstr>Interface!Print_Area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Aqnan Matthew</dc:creator>
  <cp:lastModifiedBy>Aqnan Matthew</cp:lastModifiedBy>
  <dcterms:created xsi:type="dcterms:W3CDTF">2019-06-12T15:37:13Z</dcterms:created>
  <dcterms:modified xsi:type="dcterms:W3CDTF">2019-06-22T16:18:55Z</dcterms:modified>
</cp:coreProperties>
</file>